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E565EF5A-241A-4FDA-8404-FE20ECBD6D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jT5/X+dtjCr5itCbzNQ3R2XPcXCg=="/>
    </ext>
  </extLst>
</workbook>
</file>

<file path=xl/calcChain.xml><?xml version="1.0" encoding="utf-8"?>
<calcChain xmlns="http://schemas.openxmlformats.org/spreadsheetml/2006/main">
  <c r="C28" i="1" l="1"/>
  <c r="C19" i="1"/>
  <c r="C12" i="1"/>
  <c r="C30" i="1" s="1"/>
  <c r="C34" i="1" s="1"/>
</calcChain>
</file>

<file path=xl/sharedStrings.xml><?xml version="1.0" encoding="utf-8"?>
<sst xmlns="http://schemas.openxmlformats.org/spreadsheetml/2006/main" count="27" uniqueCount="27">
  <si>
    <t>Taxable Income</t>
  </si>
  <si>
    <t>Key</t>
  </si>
  <si>
    <t>Formula driven</t>
  </si>
  <si>
    <t>Fit Energy Inc.</t>
  </si>
  <si>
    <t>Amount Provided</t>
  </si>
  <si>
    <t>Student Answer</t>
  </si>
  <si>
    <t>Book Income</t>
  </si>
  <si>
    <t>Net Income (Loss)</t>
  </si>
  <si>
    <t>Add Back:</t>
  </si>
  <si>
    <t>Federal Income Tax Expense</t>
  </si>
  <si>
    <t>Pre-Tax Income (Loss)</t>
  </si>
  <si>
    <t>Permanent Differences</t>
  </si>
  <si>
    <t>Meals &amp; Entertainment</t>
  </si>
  <si>
    <t>Club Dues</t>
  </si>
  <si>
    <t>Fines &amp; Penalties</t>
  </si>
  <si>
    <t>Tax-exempt Interest</t>
  </si>
  <si>
    <t>Total Permanent Differences</t>
  </si>
  <si>
    <t>Temporary Differences</t>
  </si>
  <si>
    <t>Depreciation</t>
  </si>
  <si>
    <t>Accrued Bonus</t>
  </si>
  <si>
    <t>Prepaid Rent</t>
  </si>
  <si>
    <t>Prepaid Insurance</t>
  </si>
  <si>
    <t>Accrued Vacation</t>
  </si>
  <si>
    <t>Total Temporary Differences</t>
  </si>
  <si>
    <t>Federal Taxable Income</t>
  </si>
  <si>
    <t>Tax Rate</t>
  </si>
  <si>
    <t>Total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</si>
</sst>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4"/>
      <name val="Calibri"/>
    </font>
    <font>
      <sz val="11"/>
      <color theme="4"/>
      <name val="Calibri"/>
    </font>
    <font>
      <b/>
      <sz val="11"/>
      <color theme="1"/>
      <name val="Calibri"/>
    </font>
    <font>
      <sz val="11"/>
      <color rgb="FF4472C4"/>
      <name val="Calibri"/>
    </font>
    <font>
      <b/>
      <u/>
      <sz val="11"/>
      <color theme="1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/>
    <xf numFmtId="0" fontId="6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0" borderId="0" xfId="0" applyFont="1"/>
    <xf numFmtId="3" fontId="2" fillId="3" borderId="2" xfId="0" applyNumberFormat="1" applyFont="1" applyFill="1" applyBorder="1"/>
    <xf numFmtId="164" fontId="2" fillId="4" borderId="2" xfId="0" applyNumberFormat="1" applyFont="1" applyFill="1" applyBorder="1"/>
    <xf numFmtId="164" fontId="2" fillId="2" borderId="2" xfId="0" applyNumberFormat="1" applyFont="1" applyFill="1" applyBorder="1"/>
    <xf numFmtId="3" fontId="2" fillId="4" borderId="2" xfId="0" applyNumberFormat="1" applyFont="1" applyFill="1" applyBorder="1"/>
    <xf numFmtId="3" fontId="2" fillId="0" borderId="0" xfId="0" applyNumberFormat="1" applyFont="1"/>
    <xf numFmtId="0" fontId="2" fillId="4" borderId="2" xfId="0" applyFont="1" applyFill="1" applyBorder="1"/>
    <xf numFmtId="164" fontId="2" fillId="4" borderId="3" xfId="0" applyNumberFormat="1" applyFont="1" applyFill="1" applyBorder="1"/>
    <xf numFmtId="164" fontId="2" fillId="3" borderId="2" xfId="0" applyNumberFormat="1" applyFont="1" applyFill="1" applyBorder="1"/>
    <xf numFmtId="0" fontId="8" fillId="0" borderId="0" xfId="0" applyFont="1"/>
    <xf numFmtId="164" fontId="2" fillId="0" borderId="0" xfId="0" applyNumberFormat="1" applyFont="1"/>
    <xf numFmtId="0" fontId="2" fillId="4" borderId="3" xfId="0" applyFont="1" applyFill="1" applyBorder="1"/>
    <xf numFmtId="43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E14" sqref="E14"/>
    </sheetView>
  </sheetViews>
  <sheetFormatPr defaultColWidth="14.44140625" defaultRowHeight="15" customHeight="1" x14ac:dyDescent="0.3"/>
  <cols>
    <col min="1" max="1" width="24.44140625" customWidth="1"/>
    <col min="2" max="2" width="12.109375" customWidth="1"/>
    <col min="3" max="3" width="12.44140625" customWidth="1"/>
    <col min="4" max="4" width="8.6640625" customWidth="1"/>
    <col min="5" max="5" width="21.77734375" customWidth="1"/>
    <col min="6" max="6" width="24.44140625" customWidth="1"/>
    <col min="7" max="8" width="11.109375" customWidth="1"/>
    <col min="9" max="9" width="10.109375" customWidth="1"/>
    <col min="10" max="26" width="8.6640625" customWidth="1"/>
  </cols>
  <sheetData>
    <row r="1" spans="1:9" ht="14.25" customHeight="1" x14ac:dyDescent="0.3">
      <c r="A1" s="1" t="s">
        <v>0</v>
      </c>
    </row>
    <row r="2" spans="1:9" ht="14.25" customHeight="1" x14ac:dyDescent="0.3">
      <c r="A2" s="2">
        <v>44561</v>
      </c>
      <c r="F2" s="3" t="s">
        <v>1</v>
      </c>
    </row>
    <row r="3" spans="1:9" ht="14.25" customHeight="1" x14ac:dyDescent="0.3">
      <c r="F3" s="4" t="s">
        <v>2</v>
      </c>
    </row>
    <row r="4" spans="1:9" ht="14.25" customHeight="1" x14ac:dyDescent="0.3">
      <c r="C4" s="5" t="s">
        <v>3</v>
      </c>
      <c r="F4" s="6" t="s">
        <v>4</v>
      </c>
    </row>
    <row r="5" spans="1:9" ht="14.25" customHeight="1" x14ac:dyDescent="0.3">
      <c r="F5" s="7" t="s">
        <v>5</v>
      </c>
    </row>
    <row r="6" spans="1:9" ht="14.25" customHeight="1" x14ac:dyDescent="0.3">
      <c r="A6" s="8" t="s">
        <v>6</v>
      </c>
    </row>
    <row r="7" spans="1:9" ht="14.25" customHeight="1" x14ac:dyDescent="0.3">
      <c r="A7" s="1" t="s">
        <v>7</v>
      </c>
      <c r="C7" s="9">
        <v>2800000</v>
      </c>
    </row>
    <row r="8" spans="1:9" ht="14.25" customHeight="1" x14ac:dyDescent="0.3"/>
    <row r="9" spans="1:9" ht="14.25" customHeight="1" x14ac:dyDescent="0.3">
      <c r="A9" s="5" t="s">
        <v>8</v>
      </c>
    </row>
    <row r="10" spans="1:9" ht="14.25" customHeight="1" x14ac:dyDescent="0.3">
      <c r="A10" s="1" t="s">
        <v>9</v>
      </c>
      <c r="C10" s="10">
        <v>598200</v>
      </c>
    </row>
    <row r="11" spans="1:9" ht="14.25" customHeight="1" x14ac:dyDescent="0.3"/>
    <row r="12" spans="1:9" ht="14.25" customHeight="1" x14ac:dyDescent="0.3">
      <c r="A12" s="1" t="s">
        <v>10</v>
      </c>
      <c r="C12" s="11">
        <f>C7+C10</f>
        <v>3398200</v>
      </c>
    </row>
    <row r="13" spans="1:9" ht="14.25" customHeight="1" x14ac:dyDescent="0.3"/>
    <row r="14" spans="1:9" ht="14.25" customHeight="1" x14ac:dyDescent="0.3">
      <c r="A14" s="5" t="s">
        <v>11</v>
      </c>
    </row>
    <row r="15" spans="1:9" ht="14.25" customHeight="1" x14ac:dyDescent="0.3">
      <c r="A15" s="1" t="s">
        <v>12</v>
      </c>
      <c r="C15" s="12">
        <v>212000</v>
      </c>
      <c r="F15" s="5"/>
    </row>
    <row r="16" spans="1:9" ht="14.25" customHeight="1" x14ac:dyDescent="0.3">
      <c r="A16" s="1" t="s">
        <v>13</v>
      </c>
      <c r="C16" s="10">
        <v>115000</v>
      </c>
      <c r="G16" s="13"/>
      <c r="H16" s="13"/>
      <c r="I16" s="13"/>
    </row>
    <row r="17" spans="1:9" ht="14.25" customHeight="1" x14ac:dyDescent="0.3">
      <c r="A17" s="1" t="s">
        <v>14</v>
      </c>
      <c r="C17" s="14">
        <v>0</v>
      </c>
      <c r="G17" s="13"/>
      <c r="I17" s="13"/>
    </row>
    <row r="18" spans="1:9" ht="14.25" customHeight="1" x14ac:dyDescent="0.3">
      <c r="A18" s="1" t="s">
        <v>15</v>
      </c>
      <c r="C18" s="15">
        <v>-15000</v>
      </c>
    </row>
    <row r="19" spans="1:9" ht="14.25" customHeight="1" x14ac:dyDescent="0.3">
      <c r="A19" s="5" t="s">
        <v>16</v>
      </c>
      <c r="C19" s="11">
        <f>SUM(C15:C18)</f>
        <v>312000</v>
      </c>
    </row>
    <row r="20" spans="1:9" ht="14.25" customHeight="1" x14ac:dyDescent="0.3">
      <c r="A20" s="5"/>
    </row>
    <row r="21" spans="1:9" ht="14.25" customHeight="1" x14ac:dyDescent="0.3">
      <c r="A21" s="5"/>
    </row>
    <row r="22" spans="1:9" ht="14.25" customHeight="1" x14ac:dyDescent="0.3">
      <c r="A22" s="5" t="s">
        <v>17</v>
      </c>
    </row>
    <row r="23" spans="1:9" ht="14.25" customHeight="1" x14ac:dyDescent="0.3">
      <c r="A23" s="1" t="s">
        <v>18</v>
      </c>
      <c r="C23" s="16">
        <v>-216400</v>
      </c>
      <c r="D23" s="17"/>
    </row>
    <row r="24" spans="1:9" ht="14.25" customHeight="1" x14ac:dyDescent="0.3">
      <c r="A24" s="1" t="s">
        <v>19</v>
      </c>
      <c r="C24" s="12">
        <v>34000</v>
      </c>
      <c r="G24" s="18"/>
      <c r="H24" s="18"/>
      <c r="I24" s="18"/>
    </row>
    <row r="25" spans="1:9" ht="14.25" customHeight="1" x14ac:dyDescent="0.3">
      <c r="A25" s="1" t="s">
        <v>20</v>
      </c>
      <c r="C25" s="10">
        <v>-60000</v>
      </c>
      <c r="D25" s="18"/>
    </row>
    <row r="26" spans="1:9" ht="14.25" customHeight="1" x14ac:dyDescent="0.3">
      <c r="A26" s="1" t="s">
        <v>21</v>
      </c>
      <c r="C26" s="10">
        <v>-9500</v>
      </c>
    </row>
    <row r="27" spans="1:9" ht="14.25" customHeight="1" x14ac:dyDescent="0.3">
      <c r="A27" s="1" t="s">
        <v>22</v>
      </c>
      <c r="C27" s="19">
        <v>0</v>
      </c>
      <c r="G27" s="13"/>
      <c r="H27" s="13"/>
      <c r="I27" s="13"/>
    </row>
    <row r="28" spans="1:9" ht="14.25" customHeight="1" x14ac:dyDescent="0.3">
      <c r="A28" s="5" t="s">
        <v>23</v>
      </c>
      <c r="C28" s="11">
        <f>SUM(C23:C27)</f>
        <v>-251900</v>
      </c>
    </row>
    <row r="29" spans="1:9" ht="14.25" customHeight="1" x14ac:dyDescent="0.3"/>
    <row r="30" spans="1:9" ht="14.25" customHeight="1" x14ac:dyDescent="0.3">
      <c r="A30" s="5" t="s">
        <v>24</v>
      </c>
      <c r="C30" s="11">
        <f>C12+C19+C28</f>
        <v>3458300</v>
      </c>
    </row>
    <row r="31" spans="1:9" ht="14.25" customHeight="1" x14ac:dyDescent="0.3">
      <c r="C31" s="20"/>
    </row>
    <row r="32" spans="1:9" ht="14.25" customHeight="1" x14ac:dyDescent="0.3">
      <c r="A32" s="5" t="s">
        <v>25</v>
      </c>
      <c r="C32" s="21">
        <v>0.21</v>
      </c>
    </row>
    <row r="33" spans="1:3" ht="14.25" customHeight="1" x14ac:dyDescent="0.3">
      <c r="A33" s="5"/>
      <c r="C33" s="21"/>
    </row>
    <row r="34" spans="1:3" ht="14.25" customHeight="1" x14ac:dyDescent="0.3">
      <c r="A34" s="5" t="s">
        <v>26</v>
      </c>
      <c r="C34" s="11">
        <f>C30*C32</f>
        <v>726243</v>
      </c>
    </row>
    <row r="35" spans="1:3" ht="14.25" customHeight="1" x14ac:dyDescent="0.3"/>
    <row r="36" spans="1:3" ht="14.25" customHeight="1" x14ac:dyDescent="0.3"/>
    <row r="37" spans="1:3" ht="14.25" customHeight="1" x14ac:dyDescent="0.3"/>
    <row r="38" spans="1:3" ht="14.25" customHeight="1" x14ac:dyDescent="0.3"/>
    <row r="39" spans="1:3" ht="14.25" customHeight="1" x14ac:dyDescent="0.3"/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Shaghayegh Haghbin</dc:creator>
  <cp:keywords/>
  <dc:description/>
  <cp:lastModifiedBy>Shaghayegh Haghbin [sdwh6702]</cp:lastModifiedBy>
  <dcterms:created xsi:type="dcterms:W3CDTF">2022-07-16T07:23:39Z</dcterms:created>
  <dcterms:modified xsi:type="dcterms:W3CDTF">2025-05-03T09:59:44Z</dcterms:modified>
  <cp:category/>
</cp:coreProperties>
</file>